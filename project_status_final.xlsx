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ick/Desktop/stuff/code_projects/IBS/trading/"/>
    </mc:Choice>
  </mc:AlternateContent>
  <xr:revisionPtr revIDLastSave="0" documentId="8_{7FB2A433-850C-EE43-896A-E8DF17D4A414}" xr6:coauthVersionLast="47" xr6:coauthVersionMax="47" xr10:uidLastSave="{00000000-0000-0000-0000-000000000000}"/>
  <bookViews>
    <workbookView xWindow="0" yWindow="500" windowWidth="38400" windowHeight="19680" xr2:uid="{00000000-000D-0000-FFFF-FFFF00000000}"/>
  </bookViews>
  <sheets>
    <sheet name="Statu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B28" i="2"/>
</calcChain>
</file>

<file path=xl/sharedStrings.xml><?xml version="1.0" encoding="utf-8"?>
<sst xmlns="http://schemas.openxmlformats.org/spreadsheetml/2006/main" count="246" uniqueCount="148">
  <si>
    <t>Milestone</t>
  </si>
  <si>
    <t>Phase</t>
  </si>
  <si>
    <t>Phase Name</t>
  </si>
  <si>
    <t>Deliverable</t>
  </si>
  <si>
    <t>Timeframe</t>
  </si>
  <si>
    <t>Phase Total</t>
  </si>
  <si>
    <t>Status</t>
  </si>
  <si>
    <t>Notes</t>
  </si>
  <si>
    <t>Kickoff</t>
  </si>
  <si>
    <t>Phase 0</t>
  </si>
  <si>
    <t>Initiation</t>
  </si>
  <si>
    <t>Week 0</t>
  </si>
  <si>
    <t>Completed</t>
  </si>
  <si>
    <t>Main missing functionality is foreign exchanges. Need to do one to determine the level of effort and complexity of the api.</t>
  </si>
  <si>
    <t>M1</t>
  </si>
  <si>
    <t>Phase 1</t>
  </si>
  <si>
    <t>MVP Build</t>
  </si>
  <si>
    <t>UI/UX Mockups</t>
  </si>
  <si>
    <t>Week 1</t>
  </si>
  <si>
    <t>Modern Flask web interface with responsive design implemented</t>
  </si>
  <si>
    <t>Watchlist management</t>
  </si>
  <si>
    <t>Week 2-3</t>
  </si>
  <si>
    <t>Watchlist functionality implemented with persistent storage</t>
  </si>
  <si>
    <t>Top Movers display</t>
  </si>
  <si>
    <t>Partially Completed - Missing Top 5 Gainers/Losers</t>
  </si>
  <si>
    <t>Basic movers display implemented, but missing dedicated top 5 gainers/losers section</t>
  </si>
  <si>
    <t>Manual trade execution</t>
  </si>
  <si>
    <t>Completed - Simulated trades only</t>
  </si>
  <si>
    <t>Manual trade execution with simulated trades implemented, no real broker integration</t>
  </si>
  <si>
    <t>ECSE Regional Exchange</t>
  </si>
  <si>
    <t>Week 3-4</t>
  </si>
  <si>
    <t>Not Implemented</t>
  </si>
  <si>
    <t>Support for Eastern Caribbean Securities Exchange (ECSE) regional exchange covering multiple countries not implemented</t>
  </si>
  <si>
    <t>M2</t>
  </si>
  <si>
    <t>Phase 2</t>
  </si>
  <si>
    <t>Auto &amp; Reporting</t>
  </si>
  <si>
    <t>Real-time graph</t>
  </si>
  <si>
    <t>Week 5-6</t>
  </si>
  <si>
    <t>Real-time graphing with WebSocket updates implemented</t>
  </si>
  <si>
    <t>Auth &amp; Rate Limiting</t>
  </si>
  <si>
    <t>Week 6-7</t>
  </si>
  <si>
    <t>Partially Completed - Rate limiting issues with some APIs</t>
  </si>
  <si>
    <t>Basic rate limiting implemented but some API rate limit issues persist</t>
  </si>
  <si>
    <t>Internal QA + Deployment</t>
  </si>
  <si>
    <t>Week 7-8</t>
  </si>
  <si>
    <t>Comprehensive logging system with web viewer implemented</t>
  </si>
  <si>
    <t>Auto-trading logic</t>
  </si>
  <si>
    <t>Completed - Simulated only</t>
  </si>
  <si>
    <t>Auto-trading logic implemented but only for simulated trades</t>
  </si>
  <si>
    <t>Financial ratios</t>
  </si>
  <si>
    <t>Not Implemented - Missing detailed metric/fundamentals</t>
  </si>
  <si>
    <t>Basic financial data available but missing detailed ratios and fundamentals</t>
  </si>
  <si>
    <t>Reporting module</t>
  </si>
  <si>
    <t>Week 4</t>
  </si>
  <si>
    <t>Partially Completed - Missing downloadable reports</t>
  </si>
  <si>
    <t>Basic reporting available in UI but missing downloadable reports</t>
  </si>
  <si>
    <t>CNBC-style UI</t>
  </si>
  <si>
    <t>Standard Bootstrap UI implemented instead of CNBC-style UI</t>
  </si>
  <si>
    <t>QA docs</t>
  </si>
  <si>
    <t>Comprehensive documentation and help sections implemented</t>
  </si>
  <si>
    <t>M3</t>
  </si>
  <si>
    <t>Phase 3</t>
  </si>
  <si>
    <t>Intelligence</t>
  </si>
  <si>
    <t>News integration</t>
  </si>
  <si>
    <t>Week 1-2</t>
  </si>
  <si>
    <t>Completed - Multiple sources integrated</t>
  </si>
  <si>
    <t>Multiple news sources integrated (Finnhub, Yahoo Finance, Alpha Vantage, Reddit)</t>
  </si>
  <si>
    <t>Earnings profiles</t>
  </si>
  <si>
    <t>Completed - Missing company profiles</t>
  </si>
  <si>
    <t>Basic earnings data available but missing detailed company profiles</t>
  </si>
  <si>
    <t>Ownership/options data</t>
  </si>
  <si>
    <t>Not Implemented - Missing detailed ownership data</t>
  </si>
  <si>
    <t>Basic options data available but missing detailed ownership information</t>
  </si>
  <si>
    <t>Alerts system</t>
  </si>
  <si>
    <t>Week 5</t>
  </si>
  <si>
    <t>Completed - Telegram alerts implemented</t>
  </si>
  <si>
    <t>Comprehensive Telegram alert system with configurable recipients implemented</t>
  </si>
  <si>
    <t>QA improvements</t>
  </si>
  <si>
    <t>Week 6-8</t>
  </si>
  <si>
    <t>Extensive error handling and validation implemented</t>
  </si>
  <si>
    <t>M4</t>
  </si>
  <si>
    <t>Phase 4</t>
  </si>
  <si>
    <t>AI &amp; Advanced</t>
  </si>
  <si>
    <t>Mock trading</t>
  </si>
  <si>
    <t>Simulated trading with portfolio tracking implemented</t>
  </si>
  <si>
    <t>Sentiment aggregation</t>
  </si>
  <si>
    <t>Multi-source sentiment aggregation with AI processing implemented</t>
  </si>
  <si>
    <t>Voice trading</t>
  </si>
  <si>
    <t>Voice trading functionality not implemented</t>
  </si>
  <si>
    <t>AI back testing</t>
  </si>
  <si>
    <t>AI backtesting with historical performance analysis implemented</t>
  </si>
  <si>
    <t>Transparency &amp; Education</t>
  </si>
  <si>
    <t>Week 8</t>
  </si>
  <si>
    <t>Completed - Debug panel showing API requests/responses</t>
  </si>
  <si>
    <t>System status page with detailed performance metrics implemented</t>
  </si>
  <si>
    <t>M5</t>
  </si>
  <si>
    <t>Phase 5</t>
  </si>
  <si>
    <t>Final Delivery</t>
  </si>
  <si>
    <t>Final QA release</t>
  </si>
  <si>
    <t>Week 9-10</t>
  </si>
  <si>
    <t>In Progress</t>
  </si>
  <si>
    <t>System running but final QA and optimizations ongoing</t>
  </si>
  <si>
    <t>Additional Features Not in Original Timeline</t>
  </si>
  <si>
    <t>Category</t>
  </si>
  <si>
    <t>Feature</t>
  </si>
  <si>
    <t>Performance Optimization</t>
  </si>
  <si>
    <t>PostgreSQL Cache System</t>
  </si>
  <si>
    <t>Completed - 2,400x faster cached responses</t>
  </si>
  <si>
    <t>Smart Batching &amp; Concurrency</t>
  </si>
  <si>
    <t>Completed - 5-10x performance improvement</t>
  </si>
  <si>
    <t>WebSocket Real-time Updates</t>
  </si>
  <si>
    <t>Completed - Live progress tracking</t>
  </si>
  <si>
    <t>Thread Pool Optimization</t>
  </si>
  <si>
    <t>Telegram Integration</t>
  </si>
  <si>
    <t>Alert Notification System</t>
  </si>
  <si>
    <t>Configurable Recipients</t>
  </si>
  <si>
    <t>Enhanced AI Analysis</t>
  </si>
  <si>
    <t>Multiple AI Provider Support</t>
  </si>
  <si>
    <t>Completed - OpenAI GPT/Ollama/DeepSeek</t>
  </si>
  <si>
    <t>Local AI Processing Options</t>
  </si>
  <si>
    <t>Completed - Ollama local model support</t>
  </si>
  <si>
    <t>System Monitoring</t>
  </si>
  <si>
    <t>Performance Metrics Dashboard</t>
  </si>
  <si>
    <t>Completed - Comprehensive system status page</t>
  </si>
  <si>
    <t>Cache Statistics</t>
  </si>
  <si>
    <t>Completed - Detailed cache analytics</t>
  </si>
  <si>
    <t>Trading Strategies</t>
  </si>
  <si>
    <t>Multiple Strategy Types</t>
  </si>
  <si>
    <t>Completed - Conservative/Moderate/Income-Focused</t>
  </si>
  <si>
    <t>Risk Level Assessments</t>
  </si>
  <si>
    <t>Completed - Risk assessment for different account sizes</t>
  </si>
  <si>
    <t>Data Sources</t>
  </si>
  <si>
    <t>Enhanced Reddit Integration</t>
  </si>
  <si>
    <t>Completed - 30+ subreddits monitored</t>
  </si>
  <si>
    <t>Multi-source News Aggregation</t>
  </si>
  <si>
    <t>Completed - Finnhub, Yahoo Finance, Alpha Vantage, Reddit</t>
  </si>
  <si>
    <t>User Experience</t>
  </si>
  <si>
    <t>Theme Switching</t>
  </si>
  <si>
    <t>Completed - Light/Dark mode support</t>
  </si>
  <si>
    <t>Responsive Design</t>
  </si>
  <si>
    <t>Completed - Mobile-friendly interface</t>
  </si>
  <si>
    <t>Logging System</t>
  </si>
  <si>
    <t>Enhanced Logging</t>
  </si>
  <si>
    <t>Completed - Comprehensive logging with web viewer</t>
  </si>
  <si>
    <t>Documentation</t>
  </si>
  <si>
    <t>Interactive Help</t>
  </si>
  <si>
    <t>Completed - In-app help and documentation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</si>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</sst>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b/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7" borderId="2" xfId="0" applyFont="1" applyFill="1" applyBorder="1"/>
    <xf numFmtId="0" fontId="0" fillId="0" borderId="2" xfId="0" applyBorder="1"/>
    <xf numFmtId="4" fontId="0" fillId="0" borderId="0" xfId="0" applyNumberFormat="1"/>
    <xf numFmtId="0" fontId="1" fillId="0" borderId="4" xfId="0" applyFont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4" fontId="0" fillId="0" borderId="3" xfId="0" applyNumberFormat="1" applyBorder="1"/>
    <xf numFmtId="164" fontId="1" fillId="2" borderId="6" xfId="0" applyNumberFormat="1" applyFont="1" applyFill="1" applyBorder="1" applyAlignment="1">
      <alignment vertical="top" wrapText="1"/>
    </xf>
    <xf numFmtId="164" fontId="0" fillId="0" borderId="3" xfId="0" applyNumberFormat="1" applyBorder="1"/>
    <xf numFmtId="164" fontId="5" fillId="7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L19" sqref="L19"/>
    </sheetView>
  </sheetViews>
  <sheetFormatPr baseColWidth="10" defaultColWidth="8.83203125" defaultRowHeight="15" x14ac:dyDescent="0.2"/>
  <cols>
    <col min="1" max="1" width="18.33203125" customWidth="1"/>
    <col min="2" max="2" width="29.6640625" customWidth="1"/>
    <col min="3" max="3" width="30.1640625" customWidth="1"/>
    <col min="4" max="4" width="30" customWidth="1"/>
    <col min="5" max="6" width="12" customWidth="1"/>
    <col min="7" max="7" width="22" customWidth="1"/>
    <col min="8" max="8" width="6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" t="s">
        <v>6</v>
      </c>
      <c r="H1" s="1" t="s">
        <v>7</v>
      </c>
    </row>
    <row r="2" spans="1:8" ht="32" x14ac:dyDescent="0.2">
      <c r="A2" s="2" t="s">
        <v>8</v>
      </c>
      <c r="B2" s="2" t="s">
        <v>9</v>
      </c>
      <c r="C2" s="2" t="s">
        <v>10</v>
      </c>
      <c r="D2" s="2" t="s">
        <v>8</v>
      </c>
      <c r="E2" s="11" t="s">
        <v>11</v>
      </c>
      <c r="F2" s="18">
        <v>5000</v>
      </c>
      <c r="G2" s="12" t="s">
        <v>12</v>
      </c>
      <c r="H2" s="2" t="s">
        <v>13</v>
      </c>
    </row>
    <row r="3" spans="1:8" ht="16" x14ac:dyDescent="0.2">
      <c r="A3" s="2" t="s">
        <v>14</v>
      </c>
      <c r="B3" s="2" t="s">
        <v>15</v>
      </c>
      <c r="C3" s="2" t="s">
        <v>16</v>
      </c>
      <c r="D3" s="2" t="s">
        <v>17</v>
      </c>
      <c r="E3" s="11" t="s">
        <v>18</v>
      </c>
      <c r="F3" s="16"/>
      <c r="G3" s="12" t="s">
        <v>12</v>
      </c>
      <c r="H3" s="2" t="s">
        <v>19</v>
      </c>
    </row>
    <row r="4" spans="1:8" ht="16" x14ac:dyDescent="0.2">
      <c r="A4" s="2" t="s">
        <v>14</v>
      </c>
      <c r="B4" s="2" t="s">
        <v>15</v>
      </c>
      <c r="C4" s="2" t="s">
        <v>16</v>
      </c>
      <c r="D4" s="2" t="s">
        <v>20</v>
      </c>
      <c r="E4" s="11" t="s">
        <v>21</v>
      </c>
      <c r="F4" s="16"/>
      <c r="G4" s="12" t="s">
        <v>12</v>
      </c>
      <c r="H4" s="2" t="s">
        <v>22</v>
      </c>
    </row>
    <row r="5" spans="1:8" ht="48" x14ac:dyDescent="0.2">
      <c r="A5" s="2" t="s">
        <v>14</v>
      </c>
      <c r="B5" s="2" t="s">
        <v>15</v>
      </c>
      <c r="C5" s="2" t="s">
        <v>16</v>
      </c>
      <c r="D5" s="2" t="s">
        <v>23</v>
      </c>
      <c r="E5" s="11" t="s">
        <v>21</v>
      </c>
      <c r="F5" s="16"/>
      <c r="G5" s="13" t="s">
        <v>24</v>
      </c>
      <c r="H5" s="2" t="s">
        <v>25</v>
      </c>
    </row>
    <row r="6" spans="1:8" ht="32" x14ac:dyDescent="0.2">
      <c r="A6" s="2" t="s">
        <v>14</v>
      </c>
      <c r="B6" s="2" t="s">
        <v>15</v>
      </c>
      <c r="C6" s="2" t="s">
        <v>16</v>
      </c>
      <c r="D6" s="2" t="s">
        <v>26</v>
      </c>
      <c r="E6" s="11" t="s">
        <v>21</v>
      </c>
      <c r="F6" s="16"/>
      <c r="G6" s="12" t="s">
        <v>27</v>
      </c>
      <c r="H6" s="2" t="s">
        <v>28</v>
      </c>
    </row>
    <row r="7" spans="1:8" ht="32" x14ac:dyDescent="0.2">
      <c r="A7" s="2" t="s">
        <v>14</v>
      </c>
      <c r="B7" s="2" t="s">
        <v>15</v>
      </c>
      <c r="C7" s="2" t="s">
        <v>16</v>
      </c>
      <c r="D7" s="2" t="s">
        <v>29</v>
      </c>
      <c r="E7" s="11" t="s">
        <v>30</v>
      </c>
      <c r="F7" s="18">
        <v>9974.42</v>
      </c>
      <c r="G7" s="14" t="s">
        <v>31</v>
      </c>
      <c r="H7" s="2" t="s">
        <v>32</v>
      </c>
    </row>
    <row r="8" spans="1:8" ht="16" x14ac:dyDescent="0.2">
      <c r="A8" s="2" t="s">
        <v>33</v>
      </c>
      <c r="B8" s="2" t="s">
        <v>34</v>
      </c>
      <c r="C8" s="2" t="s">
        <v>35</v>
      </c>
      <c r="D8" s="2" t="s">
        <v>36</v>
      </c>
      <c r="E8" s="11" t="s">
        <v>37</v>
      </c>
      <c r="F8" s="16"/>
      <c r="G8" s="12" t="s">
        <v>12</v>
      </c>
      <c r="H8" s="2" t="s">
        <v>38</v>
      </c>
    </row>
    <row r="9" spans="1:8" ht="48" x14ac:dyDescent="0.2">
      <c r="A9" s="2" t="s">
        <v>33</v>
      </c>
      <c r="B9" s="2" t="s">
        <v>34</v>
      </c>
      <c r="C9" s="2" t="s">
        <v>35</v>
      </c>
      <c r="D9" s="2" t="s">
        <v>39</v>
      </c>
      <c r="E9" s="11" t="s">
        <v>40</v>
      </c>
      <c r="F9" s="16"/>
      <c r="G9" s="13" t="s">
        <v>41</v>
      </c>
      <c r="H9" s="2" t="s">
        <v>42</v>
      </c>
    </row>
    <row r="10" spans="1:8" ht="16" x14ac:dyDescent="0.2">
      <c r="A10" s="2" t="s">
        <v>33</v>
      </c>
      <c r="B10" s="2" t="s">
        <v>34</v>
      </c>
      <c r="C10" s="2" t="s">
        <v>35</v>
      </c>
      <c r="D10" s="2" t="s">
        <v>43</v>
      </c>
      <c r="E10" s="11" t="s">
        <v>44</v>
      </c>
      <c r="F10" s="16"/>
      <c r="G10" s="12" t="s">
        <v>12</v>
      </c>
      <c r="H10" s="2" t="s">
        <v>45</v>
      </c>
    </row>
    <row r="11" spans="1:8" ht="32" x14ac:dyDescent="0.2">
      <c r="A11" s="2" t="s">
        <v>33</v>
      </c>
      <c r="B11" s="2" t="s">
        <v>34</v>
      </c>
      <c r="C11" s="2" t="s">
        <v>35</v>
      </c>
      <c r="D11" s="2" t="s">
        <v>46</v>
      </c>
      <c r="E11" s="11" t="s">
        <v>21</v>
      </c>
      <c r="F11" s="16"/>
      <c r="G11" s="12" t="s">
        <v>47</v>
      </c>
      <c r="H11" s="2" t="s">
        <v>48</v>
      </c>
    </row>
    <row r="12" spans="1:8" ht="48" x14ac:dyDescent="0.2">
      <c r="A12" s="2" t="s">
        <v>33</v>
      </c>
      <c r="B12" s="2" t="s">
        <v>34</v>
      </c>
      <c r="C12" s="2" t="s">
        <v>35</v>
      </c>
      <c r="D12" s="2" t="s">
        <v>49</v>
      </c>
      <c r="E12" s="11" t="s">
        <v>21</v>
      </c>
      <c r="F12" s="16"/>
      <c r="G12" s="14" t="s">
        <v>50</v>
      </c>
      <c r="H12" s="2" t="s">
        <v>51</v>
      </c>
    </row>
    <row r="13" spans="1:8" ht="48" x14ac:dyDescent="0.2">
      <c r="A13" s="2" t="s">
        <v>33</v>
      </c>
      <c r="B13" s="2" t="s">
        <v>34</v>
      </c>
      <c r="C13" s="2" t="s">
        <v>35</v>
      </c>
      <c r="D13" s="2" t="s">
        <v>52</v>
      </c>
      <c r="E13" s="11" t="s">
        <v>53</v>
      </c>
      <c r="F13" s="16"/>
      <c r="G13" s="13" t="s">
        <v>54</v>
      </c>
      <c r="H13" s="2" t="s">
        <v>55</v>
      </c>
    </row>
    <row r="14" spans="1:8" ht="32" x14ac:dyDescent="0.2">
      <c r="A14" s="2" t="s">
        <v>33</v>
      </c>
      <c r="B14" s="2" t="s">
        <v>34</v>
      </c>
      <c r="C14" s="2" t="s">
        <v>35</v>
      </c>
      <c r="D14" s="2" t="s">
        <v>56</v>
      </c>
      <c r="E14" s="11" t="s">
        <v>31</v>
      </c>
      <c r="F14" s="16"/>
      <c r="G14" s="14" t="s">
        <v>31</v>
      </c>
      <c r="H14" s="2" t="s">
        <v>57</v>
      </c>
    </row>
    <row r="15" spans="1:8" ht="16" x14ac:dyDescent="0.2">
      <c r="A15" s="2" t="s">
        <v>33</v>
      </c>
      <c r="B15" s="2" t="s">
        <v>34</v>
      </c>
      <c r="C15" s="2" t="s">
        <v>35</v>
      </c>
      <c r="D15" s="2" t="s">
        <v>58</v>
      </c>
      <c r="E15" s="11" t="s">
        <v>37</v>
      </c>
      <c r="F15" s="18">
        <v>6649.61</v>
      </c>
      <c r="G15" s="12" t="s">
        <v>12</v>
      </c>
      <c r="H15" s="2" t="s">
        <v>59</v>
      </c>
    </row>
    <row r="16" spans="1:8" ht="32" x14ac:dyDescent="0.2">
      <c r="A16" s="2" t="s">
        <v>60</v>
      </c>
      <c r="B16" s="2" t="s">
        <v>61</v>
      </c>
      <c r="C16" s="2" t="s">
        <v>62</v>
      </c>
      <c r="D16" s="2" t="s">
        <v>63</v>
      </c>
      <c r="E16" s="11" t="s">
        <v>64</v>
      </c>
      <c r="F16" s="16"/>
      <c r="G16" s="12" t="s">
        <v>65</v>
      </c>
      <c r="H16" s="2" t="s">
        <v>66</v>
      </c>
    </row>
    <row r="17" spans="1:8" ht="32" x14ac:dyDescent="0.2">
      <c r="A17" s="2" t="s">
        <v>60</v>
      </c>
      <c r="B17" s="2" t="s">
        <v>61</v>
      </c>
      <c r="C17" s="2" t="s">
        <v>62</v>
      </c>
      <c r="D17" s="2" t="s">
        <v>67</v>
      </c>
      <c r="E17" s="11" t="s">
        <v>64</v>
      </c>
      <c r="F17" s="16"/>
      <c r="G17" s="12" t="s">
        <v>68</v>
      </c>
      <c r="H17" s="2" t="s">
        <v>69</v>
      </c>
    </row>
    <row r="18" spans="1:8" ht="32" x14ac:dyDescent="0.2">
      <c r="A18" s="2" t="s">
        <v>60</v>
      </c>
      <c r="B18" s="2" t="s">
        <v>61</v>
      </c>
      <c r="C18" s="2" t="s">
        <v>62</v>
      </c>
      <c r="D18" s="2" t="s">
        <v>70</v>
      </c>
      <c r="E18" s="11" t="s">
        <v>30</v>
      </c>
      <c r="F18" s="16"/>
      <c r="G18" s="14" t="s">
        <v>71</v>
      </c>
      <c r="H18" s="2" t="s">
        <v>72</v>
      </c>
    </row>
    <row r="19" spans="1:8" ht="32" x14ac:dyDescent="0.2">
      <c r="A19" s="2" t="s">
        <v>60</v>
      </c>
      <c r="B19" s="2" t="s">
        <v>61</v>
      </c>
      <c r="C19" s="2" t="s">
        <v>62</v>
      </c>
      <c r="D19" s="2" t="s">
        <v>73</v>
      </c>
      <c r="E19" s="11" t="s">
        <v>74</v>
      </c>
      <c r="F19" s="16"/>
      <c r="G19" s="12" t="s">
        <v>75</v>
      </c>
      <c r="H19" s="2" t="s">
        <v>76</v>
      </c>
    </row>
    <row r="20" spans="1:8" ht="16" x14ac:dyDescent="0.2">
      <c r="A20" s="2" t="s">
        <v>60</v>
      </c>
      <c r="B20" s="2" t="s">
        <v>61</v>
      </c>
      <c r="C20" s="2" t="s">
        <v>62</v>
      </c>
      <c r="D20" s="2" t="s">
        <v>77</v>
      </c>
      <c r="E20" s="11" t="s">
        <v>78</v>
      </c>
      <c r="F20" s="18">
        <v>7065.21</v>
      </c>
      <c r="G20" s="12" t="s">
        <v>12</v>
      </c>
      <c r="H20" s="2" t="s">
        <v>79</v>
      </c>
    </row>
    <row r="21" spans="1:8" ht="16" x14ac:dyDescent="0.2">
      <c r="A21" s="2" t="s">
        <v>80</v>
      </c>
      <c r="B21" s="2" t="s">
        <v>81</v>
      </c>
      <c r="C21" s="2" t="s">
        <v>82</v>
      </c>
      <c r="D21" s="2" t="s">
        <v>83</v>
      </c>
      <c r="E21" s="11" t="s">
        <v>64</v>
      </c>
      <c r="F21" s="16"/>
      <c r="G21" s="12" t="s">
        <v>12</v>
      </c>
      <c r="H21" s="2" t="s">
        <v>84</v>
      </c>
    </row>
    <row r="22" spans="1:8" ht="16" x14ac:dyDescent="0.2">
      <c r="A22" s="2" t="s">
        <v>80</v>
      </c>
      <c r="B22" s="2" t="s">
        <v>81</v>
      </c>
      <c r="C22" s="2" t="s">
        <v>82</v>
      </c>
      <c r="D22" s="2" t="s">
        <v>85</v>
      </c>
      <c r="E22" s="11" t="s">
        <v>30</v>
      </c>
      <c r="F22" s="16"/>
      <c r="G22" s="12" t="s">
        <v>12</v>
      </c>
      <c r="H22" s="2" t="s">
        <v>86</v>
      </c>
    </row>
    <row r="23" spans="1:8" ht="16" x14ac:dyDescent="0.2">
      <c r="A23" s="2" t="s">
        <v>80</v>
      </c>
      <c r="B23" s="2" t="s">
        <v>81</v>
      </c>
      <c r="C23" s="2" t="s">
        <v>82</v>
      </c>
      <c r="D23" s="2" t="s">
        <v>87</v>
      </c>
      <c r="E23" s="11" t="s">
        <v>37</v>
      </c>
      <c r="F23" s="16"/>
      <c r="G23" s="14" t="s">
        <v>31</v>
      </c>
      <c r="H23" s="2" t="s">
        <v>88</v>
      </c>
    </row>
    <row r="24" spans="1:8" ht="16" x14ac:dyDescent="0.2">
      <c r="A24" s="2" t="s">
        <v>80</v>
      </c>
      <c r="B24" s="2" t="s">
        <v>81</v>
      </c>
      <c r="C24" s="2" t="s">
        <v>82</v>
      </c>
      <c r="D24" s="2" t="s">
        <v>89</v>
      </c>
      <c r="E24" s="11" t="s">
        <v>40</v>
      </c>
      <c r="F24" s="16"/>
      <c r="G24" s="12" t="s">
        <v>12</v>
      </c>
      <c r="H24" s="2" t="s">
        <v>90</v>
      </c>
    </row>
    <row r="25" spans="1:8" ht="48" x14ac:dyDescent="0.2">
      <c r="A25" s="2" t="s">
        <v>80</v>
      </c>
      <c r="B25" s="2" t="s">
        <v>81</v>
      </c>
      <c r="C25" s="2" t="s">
        <v>82</v>
      </c>
      <c r="D25" s="2" t="s">
        <v>91</v>
      </c>
      <c r="E25" s="11" t="s">
        <v>92</v>
      </c>
      <c r="F25" s="18">
        <v>9558.82</v>
      </c>
      <c r="G25" s="12" t="s">
        <v>93</v>
      </c>
      <c r="H25" s="2" t="s">
        <v>94</v>
      </c>
    </row>
    <row r="26" spans="1:8" ht="16" x14ac:dyDescent="0.2">
      <c r="A26" s="2" t="s">
        <v>95</v>
      </c>
      <c r="B26" s="2" t="s">
        <v>96</v>
      </c>
      <c r="C26" s="2" t="s">
        <v>97</v>
      </c>
      <c r="D26" s="2" t="s">
        <v>98</v>
      </c>
      <c r="E26" s="11" t="s">
        <v>99</v>
      </c>
      <c r="F26" s="18">
        <v>4156.01</v>
      </c>
      <c r="G26" s="15" t="s">
        <v>100</v>
      </c>
      <c r="H26" s="2" t="s">
        <v>101</v>
      </c>
    </row>
    <row r="27" spans="1:8" ht="16" thickBot="1" x14ac:dyDescent="0.25">
      <c r="A27" s="3"/>
      <c r="B27" s="3"/>
      <c r="C27" s="3"/>
      <c r="D27" s="3"/>
      <c r="E27" s="3"/>
      <c r="F27" s="3"/>
      <c r="G27" s="3"/>
      <c r="H27" s="3"/>
    </row>
    <row r="28" spans="1:8" ht="18" thickTop="1" thickBot="1" x14ac:dyDescent="0.25">
      <c r="A28" s="8" t="s">
        <v>147</v>
      </c>
      <c r="B28" s="9"/>
      <c r="C28" s="9"/>
      <c r="D28" s="9"/>
      <c r="E28" s="9"/>
      <c r="F28" s="19">
        <f>SUM(F2:F26)</f>
        <v>42404.07</v>
      </c>
      <c r="G28" s="9"/>
      <c r="H28" s="9"/>
    </row>
    <row r="29" spans="1:8" ht="16" thickTop="1" x14ac:dyDescent="0.2">
      <c r="A29" s="3"/>
      <c r="B29" s="3"/>
      <c r="C29" s="3"/>
      <c r="D29" s="3"/>
      <c r="E29" s="3"/>
      <c r="F29" s="3"/>
      <c r="G29" s="3"/>
      <c r="H29" s="3"/>
    </row>
    <row r="30" spans="1:8" ht="64" x14ac:dyDescent="0.2">
      <c r="A30" s="4" t="s">
        <v>102</v>
      </c>
    </row>
    <row r="31" spans="1:8" ht="16" x14ac:dyDescent="0.2">
      <c r="A31" s="5" t="s">
        <v>103</v>
      </c>
      <c r="B31" s="5" t="s">
        <v>104</v>
      </c>
      <c r="C31" s="5" t="s">
        <v>7</v>
      </c>
      <c r="D31" s="3"/>
      <c r="E31" s="3"/>
      <c r="F31" s="3"/>
      <c r="G31" s="3"/>
      <c r="H31" s="3"/>
    </row>
    <row r="32" spans="1:8" ht="48" x14ac:dyDescent="0.2">
      <c r="A32" s="6" t="s">
        <v>105</v>
      </c>
      <c r="B32" s="7" t="s">
        <v>106</v>
      </c>
      <c r="C32" s="2" t="s">
        <v>107</v>
      </c>
      <c r="D32" s="3"/>
      <c r="E32" s="3"/>
      <c r="F32" s="3"/>
      <c r="G32" s="3"/>
      <c r="H32" s="3"/>
    </row>
    <row r="33" spans="1:8" ht="80" x14ac:dyDescent="0.2">
      <c r="A33" s="6" t="s">
        <v>105</v>
      </c>
      <c r="B33" s="7" t="s">
        <v>108</v>
      </c>
      <c r="C33" s="2" t="s">
        <v>109</v>
      </c>
      <c r="D33" s="3"/>
      <c r="E33" s="3"/>
      <c r="F33" s="3"/>
      <c r="G33" s="3"/>
      <c r="H33" s="3"/>
    </row>
    <row r="34" spans="1:8" ht="48" x14ac:dyDescent="0.2">
      <c r="A34" s="6" t="s">
        <v>105</v>
      </c>
      <c r="B34" s="7" t="s">
        <v>110</v>
      </c>
      <c r="C34" s="2" t="s">
        <v>111</v>
      </c>
      <c r="D34" s="3"/>
      <c r="E34" s="3"/>
      <c r="F34" s="3"/>
      <c r="G34" s="3"/>
      <c r="H34" s="3"/>
    </row>
    <row r="35" spans="1:8" ht="64" x14ac:dyDescent="0.2">
      <c r="A35" s="6" t="s">
        <v>105</v>
      </c>
      <c r="B35" s="7" t="s">
        <v>112</v>
      </c>
      <c r="C35" s="2" t="s">
        <v>12</v>
      </c>
      <c r="D35" s="3"/>
      <c r="E35" s="3"/>
      <c r="F35" s="3"/>
      <c r="G35" s="3"/>
      <c r="H35" s="3"/>
    </row>
    <row r="36" spans="1:8" ht="48" x14ac:dyDescent="0.2">
      <c r="A36" s="6" t="s">
        <v>113</v>
      </c>
      <c r="B36" s="7" t="s">
        <v>114</v>
      </c>
      <c r="C36" s="2" t="s">
        <v>12</v>
      </c>
      <c r="D36" s="3"/>
      <c r="E36" s="3"/>
      <c r="F36" s="3"/>
      <c r="G36" s="3"/>
      <c r="H36" s="3"/>
    </row>
    <row r="37" spans="1:8" ht="48" x14ac:dyDescent="0.2">
      <c r="A37" s="6" t="s">
        <v>113</v>
      </c>
      <c r="B37" s="7" t="s">
        <v>115</v>
      </c>
      <c r="C37" s="2" t="s">
        <v>12</v>
      </c>
      <c r="D37" s="3"/>
      <c r="E37" s="3"/>
      <c r="F37" s="3"/>
      <c r="G37" s="3"/>
      <c r="H37" s="3"/>
    </row>
    <row r="38" spans="1:8" ht="48" x14ac:dyDescent="0.2">
      <c r="A38" s="6" t="s">
        <v>113</v>
      </c>
      <c r="B38" s="7" t="s">
        <v>113</v>
      </c>
      <c r="C38" s="2" t="s">
        <v>12</v>
      </c>
      <c r="D38" s="3"/>
      <c r="E38" s="3"/>
      <c r="F38" s="3"/>
      <c r="G38" s="3"/>
      <c r="H38" s="3"/>
    </row>
    <row r="39" spans="1:8" ht="48" x14ac:dyDescent="0.2">
      <c r="A39" s="6" t="s">
        <v>116</v>
      </c>
      <c r="B39" s="7" t="s">
        <v>117</v>
      </c>
      <c r="C39" s="2" t="s">
        <v>118</v>
      </c>
      <c r="D39" s="3"/>
      <c r="E39" s="3"/>
      <c r="F39" s="3"/>
      <c r="G39" s="3"/>
      <c r="H39" s="3"/>
    </row>
    <row r="40" spans="1:8" ht="48" x14ac:dyDescent="0.2">
      <c r="A40" s="6" t="s">
        <v>116</v>
      </c>
      <c r="B40" s="7" t="s">
        <v>119</v>
      </c>
      <c r="C40" s="2" t="s">
        <v>120</v>
      </c>
      <c r="D40" s="3"/>
      <c r="E40" s="3"/>
      <c r="F40" s="3"/>
      <c r="G40" s="3"/>
      <c r="H40" s="3"/>
    </row>
    <row r="41" spans="1:8" ht="48" x14ac:dyDescent="0.2">
      <c r="A41" s="6" t="s">
        <v>121</v>
      </c>
      <c r="B41" s="7" t="s">
        <v>122</v>
      </c>
      <c r="C41" s="2" t="s">
        <v>123</v>
      </c>
      <c r="D41" s="3"/>
      <c r="E41" s="3"/>
      <c r="F41" s="3"/>
      <c r="G41" s="3"/>
      <c r="H41" s="3"/>
    </row>
    <row r="42" spans="1:8" ht="32" x14ac:dyDescent="0.2">
      <c r="A42" s="6" t="s">
        <v>121</v>
      </c>
      <c r="B42" s="7" t="s">
        <v>124</v>
      </c>
      <c r="C42" s="2" t="s">
        <v>125</v>
      </c>
      <c r="D42" s="3"/>
      <c r="E42" s="3"/>
      <c r="F42" s="3"/>
      <c r="G42" s="3"/>
      <c r="H42" s="3"/>
    </row>
    <row r="43" spans="1:8" ht="48" x14ac:dyDescent="0.2">
      <c r="A43" s="6" t="s">
        <v>126</v>
      </c>
      <c r="B43" s="7" t="s">
        <v>127</v>
      </c>
      <c r="C43" s="2" t="s">
        <v>128</v>
      </c>
      <c r="D43" s="3"/>
      <c r="E43" s="3"/>
      <c r="F43" s="3"/>
      <c r="G43" s="3"/>
      <c r="H43" s="3"/>
    </row>
    <row r="44" spans="1:8" ht="48" x14ac:dyDescent="0.2">
      <c r="A44" s="6" t="s">
        <v>126</v>
      </c>
      <c r="B44" s="7" t="s">
        <v>129</v>
      </c>
      <c r="C44" s="2" t="s">
        <v>130</v>
      </c>
      <c r="D44" s="3"/>
      <c r="E44" s="3"/>
      <c r="F44" s="3"/>
      <c r="G44" s="3"/>
      <c r="H44" s="3"/>
    </row>
    <row r="45" spans="1:8" ht="64" x14ac:dyDescent="0.2">
      <c r="A45" s="6" t="s">
        <v>131</v>
      </c>
      <c r="B45" s="7" t="s">
        <v>132</v>
      </c>
      <c r="C45" s="2" t="s">
        <v>133</v>
      </c>
      <c r="D45" s="3"/>
      <c r="E45" s="3"/>
      <c r="F45" s="3"/>
      <c r="G45" s="3"/>
      <c r="H45" s="3"/>
    </row>
    <row r="46" spans="1:8" ht="80" x14ac:dyDescent="0.2">
      <c r="A46" s="6" t="s">
        <v>131</v>
      </c>
      <c r="B46" s="7" t="s">
        <v>134</v>
      </c>
      <c r="C46" s="2" t="s">
        <v>135</v>
      </c>
      <c r="D46" s="3"/>
      <c r="E46" s="3"/>
      <c r="F46" s="3"/>
      <c r="G46" s="3"/>
      <c r="H46" s="3"/>
    </row>
    <row r="47" spans="1:8" ht="48" x14ac:dyDescent="0.2">
      <c r="A47" s="6" t="s">
        <v>136</v>
      </c>
      <c r="B47" s="7" t="s">
        <v>137</v>
      </c>
      <c r="C47" s="2" t="s">
        <v>138</v>
      </c>
      <c r="D47" s="3"/>
      <c r="E47" s="3"/>
      <c r="F47" s="3"/>
      <c r="G47" s="3"/>
      <c r="H47" s="3"/>
    </row>
    <row r="48" spans="1:8" ht="32" x14ac:dyDescent="0.2">
      <c r="A48" s="6" t="s">
        <v>136</v>
      </c>
      <c r="B48" s="7" t="s">
        <v>139</v>
      </c>
      <c r="C48" s="2" t="s">
        <v>140</v>
      </c>
      <c r="D48" s="3"/>
      <c r="E48" s="3"/>
      <c r="F48" s="3"/>
      <c r="G48" s="3"/>
      <c r="H48" s="3"/>
    </row>
    <row r="49" spans="1:8" ht="64" x14ac:dyDescent="0.2">
      <c r="A49" s="6" t="s">
        <v>141</v>
      </c>
      <c r="B49" s="7" t="s">
        <v>142</v>
      </c>
      <c r="C49" s="2" t="s">
        <v>143</v>
      </c>
      <c r="D49" s="3"/>
      <c r="E49" s="3"/>
      <c r="F49" s="3"/>
      <c r="G49" s="3"/>
      <c r="H49" s="3"/>
    </row>
    <row r="50" spans="1:8" ht="48" x14ac:dyDescent="0.2">
      <c r="A50" s="6" t="s">
        <v>144</v>
      </c>
      <c r="B50" s="7" t="s">
        <v>145</v>
      </c>
      <c r="C50" s="2" t="s">
        <v>146</v>
      </c>
      <c r="D50" s="3"/>
      <c r="E50" s="3"/>
      <c r="F50" s="3"/>
      <c r="G50" s="3"/>
      <c r="H5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19D3-C8E3-FF4B-BED1-35D880E3EF13}">
  <dimension ref="B2:B28"/>
  <sheetViews>
    <sheetView workbookViewId="0">
      <selection activeCell="B3" sqref="B3:B27"/>
    </sheetView>
  </sheetViews>
  <sheetFormatPr baseColWidth="10" defaultRowHeight="15" x14ac:dyDescent="0.2"/>
  <sheetData>
    <row r="2" spans="2:2" x14ac:dyDescent="0.2">
      <c r="B2" t="s">
        <v>5</v>
      </c>
    </row>
    <row r="3" spans="2:2" x14ac:dyDescent="0.2">
      <c r="B3" s="10">
        <v>5000</v>
      </c>
    </row>
    <row r="8" spans="2:2" x14ac:dyDescent="0.2">
      <c r="B8" s="10">
        <v>9974.42</v>
      </c>
    </row>
    <row r="16" spans="2:2" x14ac:dyDescent="0.2">
      <c r="B16" s="10">
        <v>6649.61</v>
      </c>
    </row>
    <row r="21" spans="2:2" x14ac:dyDescent="0.2">
      <c r="B21" s="10">
        <v>7065.21</v>
      </c>
    </row>
    <row r="26" spans="2:2" x14ac:dyDescent="0.2">
      <c r="B26" s="10">
        <v>9558.82</v>
      </c>
    </row>
    <row r="27" spans="2:2" x14ac:dyDescent="0.2">
      <c r="B27" s="10">
        <v>4156.01</v>
      </c>
    </row>
    <row r="28" spans="2:2" x14ac:dyDescent="0.2">
      <c r="B28" s="10">
        <f>SUM(B3:B27)</f>
        <v>42404.07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Jacobs</cp:lastModifiedBy>
  <dcterms:created xsi:type="dcterms:W3CDTF">2025-06-20T02:15:44Z</dcterms:created>
  <dcterms:modified xsi:type="dcterms:W3CDTF">2025-06-20T18:35:41Z</dcterms:modified>
</cp:coreProperties>
</file>